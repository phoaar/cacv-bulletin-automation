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Service Details" sheetId="1" r:id="rId5"/>
    <sheet state="visible" name="🗓 Order of Service" sheetId="2" r:id="rId6"/>
    <sheet state="visible" name="📢 Announcements" sheetId="3" r:id="rId7"/>
    <sheet state="visible" name="🙏 Prayer Items" sheetId="4" r:id="rId8"/>
    <sheet state="visible" name="👥 Roster" sheetId="5" r:id="rId9"/>
    <sheet state="visible" name="📅 Events" sheetId="6" r:id="rId10"/>
    <sheet state="visible" name="💰 Offering" sheetId="7" r:id="rId11"/>
    <sheet state="visible" name="ℹ️ Instructions" sheetId="8" r:id="rId12"/>
    <sheet state="visible" name="⚙️  Settings" sheetId="9" r:id="rId13"/>
  </sheets>
  <definedNames/>
  <calcPr/>
</workbook>
</file>

<file path=xl/sharedStrings.xml><?xml version="1.0" encoding="utf-8"?>
<sst xmlns="http://schemas.openxmlformats.org/spreadsheetml/2006/main" count="269" uniqueCount="192">
  <si>
    <t>CACV English Sunday Service — Weekly Details</t>
  </si>
  <si>
    <t>Fill in this tab first — it flows into all other sections</t>
  </si>
  <si>
    <t>Field</t>
  </si>
  <si>
    <t>Value (edit this column)</t>
  </si>
  <si>
    <t>Hint / Example</t>
  </si>
  <si>
    <t>SERVICE INFO</t>
  </si>
  <si>
    <t>Service Date</t>
  </si>
  <si>
    <t>e.g. Sunday, 22 February 2026</t>
  </si>
  <si>
    <t>Service Time</t>
  </si>
  <si>
    <t>10:30 am – 12:00 pm</t>
  </si>
  <si>
    <t>Venue</t>
  </si>
  <si>
    <t>Rentoul Hall, Burwood</t>
  </si>
  <si>
    <t>SERMON</t>
  </si>
  <si>
    <t>Preacher</t>
  </si>
  <si>
    <t>Mr Pastor</t>
  </si>
  <si>
    <t>Sermon Title</t>
  </si>
  <si>
    <t>Test for scheduler</t>
  </si>
  <si>
    <t>Scripture Reference</t>
  </si>
  <si>
    <t>Genesis 1:1–5</t>
  </si>
  <si>
    <t>Book Chapter:Verse–Verse</t>
  </si>
  <si>
    <t>Testimony Sharer</t>
  </si>
  <si>
    <t>Leave blank if none</t>
  </si>
  <si>
    <t>SERVICE TEAM</t>
  </si>
  <si>
    <t>Chairperson</t>
  </si>
  <si>
    <t>Aaron Pho</t>
  </si>
  <si>
    <t>Worship Leader</t>
  </si>
  <si>
    <t>Connie Gutierrez</t>
  </si>
  <si>
    <t>Music / Band</t>
  </si>
  <si>
    <t>Emerald Law</t>
  </si>
  <si>
    <t>PowerPoint</t>
  </si>
  <si>
    <t>Hong Cheng</t>
  </si>
  <si>
    <t>PA / Sound</t>
  </si>
  <si>
    <t>Isaac Lo</t>
  </si>
  <si>
    <t>Chief Usher</t>
  </si>
  <si>
    <t>Emerald Tsui</t>
  </si>
  <si>
    <t>Ushers</t>
  </si>
  <si>
    <t>Emily Au, Hubert Kwok</t>
  </si>
  <si>
    <t>Comma separated</t>
  </si>
  <si>
    <t>Flowers</t>
  </si>
  <si>
    <t>Candy &amp; Jett He</t>
  </si>
  <si>
    <t>Morning Tea</t>
  </si>
  <si>
    <t>ATTENDANCE</t>
  </si>
  <si>
    <t>Attendance (English)</t>
  </si>
  <si>
    <t>Attendance (Chinese)</t>
  </si>
  <si>
    <t>Attendance (Children's)</t>
  </si>
  <si>
    <t>Order of Service</t>
  </si>
  <si>
    <t>Add, remove or reorder rows as needed each week. Step numbers auto-calculate.</t>
  </si>
  <si>
    <t>#</t>
  </si>
  <si>
    <t>Service Item</t>
  </si>
  <si>
    <t>Detail (optional)</t>
  </si>
  <si>
    <t>Type</t>
  </si>
  <si>
    <t>Announcements</t>
  </si>
  <si>
    <t>General</t>
  </si>
  <si>
    <t>Worship</t>
  </si>
  <si>
    <t>Offering</t>
  </si>
  <si>
    <t>Welcoming</t>
  </si>
  <si>
    <t>Scripture Reading</t>
  </si>
  <si>
    <t>Scripture</t>
  </si>
  <si>
    <t>Sermon</t>
  </si>
  <si>
    <t>Response Song</t>
  </si>
  <si>
    <t>Intercession</t>
  </si>
  <si>
    <t>Prayer</t>
  </si>
  <si>
    <t>💡 Tip: Add new rows by copying an existing row. Delete rows for items not needed this week.</t>
  </si>
  <si>
    <t>Up to 12 announcements. Leave rows blank to hide them. Body can be in Chinese — translation will be generated automatically.</t>
  </si>
  <si>
    <t>Title</t>
  </si>
  <si>
    <t>Body Text</t>
  </si>
  <si>
    <t>Keep next week?</t>
  </si>
  <si>
    <t>Language</t>
  </si>
  <si>
    <t>感謝神，英語崇拜已恢復在 Rentoul Hall 舉行！</t>
  </si>
  <si>
    <t xml:space="preserve">我們感謝主的信實與供應。誠摯
邀請大家於今天崇拜後留步，參加在 Rentoul Hall 舉行的感恩暨農曆新年午餐。
歡迎弟兄姊妹一同參與，共享團契與歡慶的時光！ </t>
  </si>
  <si>
    <t>No</t>
  </si>
  <si>
    <t>Chinese</t>
  </si>
  <si>
    <t>Monthly Prayer Meeting — 24 Feb, 8:00 pm via Zoom</t>
  </si>
  <si>
    <t>Come together on the last Tuesday of each month to give thanks and pray. Zoom link: us02web.zoom.us/j/85831129890</t>
  </si>
  <si>
    <t>Yes</t>
  </si>
  <si>
    <t>English</t>
  </si>
  <si>
    <t>Come and Know Your Missionary — 26 Feb, 8:30 pm</t>
  </si>
  <si>
    <t>B&amp;E will share during their furlough in Hong Kong. Join us to support their mission work in Kenya, Africa.</t>
  </si>
  <si>
    <t>Easter Camp 2026 — 3–6 April, YMCA Camp Manyung</t>
  </si>
  <si>
    <t>"Rise and Live for Jesus". Adults $350 · Students $300 · Children $150 · Under 2 free. Register: forms.gle/vNzi7fo6ioEJVfyj9. Fees due 1 March.</t>
  </si>
  <si>
    <t>Travel Notice — April to June 2026</t>
  </si>
  <si>
    <t>Planning to travel Apr–Jun? Email admin@cacv.org.au to notify the roster team.</t>
  </si>
  <si>
    <t>Prayer Items</t>
  </si>
  <si>
    <t>Prayer items can be submitted in Chinese — translation is automatic. Keep next week? = Yes will carry the item forward.</t>
  </si>
  <si>
    <t>Group / Category</t>
  </si>
  <si>
    <t>Prayer Point</t>
  </si>
  <si>
    <t>For the World</t>
  </si>
  <si>
    <t>Pray for those suffering in wars — Israel, Palestine, Ukraine and Russia. Pray for peace, justice, and the gospel's hope and reconciliation.</t>
  </si>
  <si>
    <t>For Our International Workers</t>
  </si>
  <si>
    <t>Chris &amp; Amy (Indonesia): protection, a fruitful mission trip, and children settling into home schooling.</t>
  </si>
  <si>
    <t>Josh &amp; Jaclyn (Cambodia): funds for Ruang Studio's 13 staff and timely production of Top &amp; Toe Season 1.</t>
  </si>
  <si>
    <t>Thibaut &amp; Naoual (France): open hearts among Afghan people, asylum seekers and international students.</t>
  </si>
  <si>
    <t>For Our Church</t>
  </si>
  <si>
    <t>Rentoul Hall: God's guidance and unity through the renovation process.</t>
  </si>
  <si>
    <t>Leaders' Retreat (7 March): unity, humility and wisdom as we seek God's direction for CACV.</t>
  </si>
  <si>
    <t>Easter Camp (3–6 April): hearts prepared to rise and live for Jesus.</t>
  </si>
  <si>
    <t>Community Food Pantry: continued supply and committed volunteers.</t>
  </si>
  <si>
    <t>Youth, Livingstones, Worship Team, Children's Ministry, and Small Groups.</t>
  </si>
  <si>
    <t>Sunday Service Roster</t>
  </si>
  <si>
    <t>Maintain 4–6 weeks ahead. This feeds into the bulletin automatically.</t>
  </si>
  <si>
    <t>Date</t>
  </si>
  <si>
    <t>Worship / Music</t>
  </si>
  <si>
    <t>PP &amp; PA</t>
  </si>
  <si>
    <t>Chief Usher / Ushers</t>
  </si>
  <si>
    <t>Notes</t>
  </si>
  <si>
    <t>1 Mar</t>
  </si>
  <si>
    <t>Mr Tony Cheung</t>
  </si>
  <si>
    <t>Eden Law</t>
  </si>
  <si>
    <t>Catherine Au / Youth Band</t>
  </si>
  <si>
    <t>Aaron Pho / Oscar Ng</t>
  </si>
  <si>
    <t>Henry Ko, Christopher Au, Sophie Ng, Isaac Ma</t>
  </si>
  <si>
    <t>Angela Li</t>
  </si>
  <si>
    <t>8 Mar</t>
  </si>
  <si>
    <t>Hong Cheng / Paktin So</t>
  </si>
  <si>
    <t>Henry Ko / Joshua Ho</t>
  </si>
  <si>
    <t>Alison Pho, Enoch Truong, Jeremy Man, Sandra Ho</t>
  </si>
  <si>
    <t>Kitty So</t>
  </si>
  <si>
    <t>15 Mar</t>
  </si>
  <si>
    <t>Testimony Sharing</t>
  </si>
  <si>
    <t>Christopher Au / Youth</t>
  </si>
  <si>
    <t>Hong Cheng / Conrad Kwok</t>
  </si>
  <si>
    <t>Emily Au, Eden Law, Hubert Kwok, Samuel Lui</t>
  </si>
  <si>
    <t>Alison Pho</t>
  </si>
  <si>
    <t>22 Mar</t>
  </si>
  <si>
    <t>TBC</t>
  </si>
  <si>
    <t>Connie G / Kristina Dew</t>
  </si>
  <si>
    <t>Enoch Truong, Emerald Tsui, Angela Li, Sophie Ng</t>
  </si>
  <si>
    <t>Christopher Au</t>
  </si>
  <si>
    <t>29 Mar</t>
  </si>
  <si>
    <t>5 Apr</t>
  </si>
  <si>
    <t>Upcoming Events</t>
  </si>
  <si>
    <t>Add upcoming events here. Check 'Show on bulletin?' to include on that week's bulletin.</t>
  </si>
  <si>
    <t>Month</t>
  </si>
  <si>
    <t>Day</t>
  </si>
  <si>
    <t>Event</t>
  </si>
  <si>
    <t>Responsible</t>
  </si>
  <si>
    <t>Show on bulletin?</t>
  </si>
  <si>
    <t>February</t>
  </si>
  <si>
    <t>22 Sun</t>
  </si>
  <si>
    <t>Adult Sunday School</t>
  </si>
  <si>
    <t>Eddie Chow</t>
  </si>
  <si>
    <t>28 Sat</t>
  </si>
  <si>
    <t>Teresa Lam / Queenie Chan / Victor Cheung</t>
  </si>
  <si>
    <t>March</t>
  </si>
  <si>
    <t>2 Mon</t>
  </si>
  <si>
    <t>Evergreen Fellowship</t>
  </si>
  <si>
    <t>Yiu He Kam</t>
  </si>
  <si>
    <t>5 Thu</t>
  </si>
  <si>
    <t>Women's Group</t>
  </si>
  <si>
    <t>Jessie Lam</t>
  </si>
  <si>
    <t>7 Sat</t>
  </si>
  <si>
    <t>CACV Leaders' Retreat</t>
  </si>
  <si>
    <t>Elders Board</t>
  </si>
  <si>
    <t>3–6 Apr</t>
  </si>
  <si>
    <t>Easter Camp 2026</t>
  </si>
  <si>
    <t>Nelson Kwok / Hong Cheng / Aaron Pho</t>
  </si>
  <si>
    <t>Weekly Offering (Internal — not shown on public bulletin)</t>
  </si>
  <si>
    <t>Enter figures after Sunday service. Totals calculate automatically.</t>
  </si>
  <si>
    <t>Offering Item</t>
  </si>
  <si>
    <t>Online Transfer</t>
  </si>
  <si>
    <t>Sunday Service</t>
  </si>
  <si>
    <t>Total</t>
  </si>
  <si>
    <t>CACV Mission</t>
  </si>
  <si>
    <t>Building</t>
  </si>
  <si>
    <t>C&amp;MA Mission</t>
  </si>
  <si>
    <t>English Sunday Service</t>
  </si>
  <si>
    <t>Children Service</t>
  </si>
  <si>
    <t>Thanksgiving</t>
  </si>
  <si>
    <t>Four Seas Bible Study</t>
  </si>
  <si>
    <t>Rev Matthew Ooi</t>
  </si>
  <si>
    <t>TOTAL</t>
  </si>
  <si>
    <t>CACV Bulletin — How to Use This Spreadsheet</t>
  </si>
  <si>
    <t>📋 Service Details</t>
  </si>
  <si>
    <t>Fill in this tab first every week — date, sermon, preacher and service team.</t>
  </si>
  <si>
    <t>🗓 Order of Service</t>
  </si>
  <si>
    <t>Edit the order each week. Add/remove/reorder rows as needed. The bulletin will reflect whatever is here.</t>
  </si>
  <si>
    <t>📢 Announcements</t>
  </si>
  <si>
    <t>Update titles and body text. Mark 'Keep next week? = Yes' to carry items forward. Leave rows blank to hide them.</t>
  </si>
  <si>
    <t>🙏 Prayer Items</t>
  </si>
  <si>
    <t>Same as announcements — update and mark keep/no keep. Group dropdowns keep them organised.</t>
  </si>
  <si>
    <t>👥 Roster</t>
  </si>
  <si>
    <t>Maintain 4–6 weeks ahead. The current week's row feeds the Service Team section.</t>
  </si>
  <si>
    <t>📅 Events</t>
  </si>
  <si>
    <t>Add upcoming events. Tick 'Show on bulletin? = Yes' to include on the current week.</t>
  </si>
  <si>
    <t>💰 Offering</t>
  </si>
  <si>
    <t>Enter online and Sunday figures. Totals calculate automatically. This tab is internal only.</t>
  </si>
  <si>
    <t>🌐 Generating</t>
  </si>
  <si>
    <t>Once all tabs are filled, the bulletin webpage updates automatically. No manual copy-pasting needed.</t>
  </si>
  <si>
    <t>🌏 Translation</t>
  </si>
  <si>
    <t>Any Chinese text in Announcements or Prayer Items will be auto-translated to English before publishing.</t>
  </si>
  <si>
    <t>Notification Emails</t>
  </si>
  <si>
    <t>admin@cacv.org.au, aaron.pho@gmail.com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</si>
</sst>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, d mmmm yyyy"/>
  </numFmts>
  <fonts count="12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8A9178"/>
      <name val="Arial"/>
    </font>
    <font>
      <b/>
      <sz val="10.0"/>
      <color rgb="FFFFFFFF"/>
      <name val="Arial"/>
    </font>
    <font>
      <sz val="10.0"/>
      <color rgb="FF2C3420"/>
      <name val="Arial"/>
    </font>
    <font>
      <i/>
      <sz val="9.0"/>
      <color rgb="FF607EA6"/>
      <name val="Arial"/>
    </font>
    <font>
      <b/>
      <sz val="10.0"/>
      <color rgb="FF2C3420"/>
      <name val="Arial"/>
    </font>
    <font>
      <b/>
      <sz val="11.0"/>
      <color rgb="FFFFFFFF"/>
      <name val="Arial"/>
    </font>
    <font>
      <b/>
      <sz val="14.0"/>
      <color rgb="FFFFFFFF"/>
      <name val="Arial"/>
    </font>
    <font>
      <color theme="1"/>
      <name val="Calibri"/>
      <scheme val="minor"/>
    </font>
    <font>
      <color rgb="FFA2A8F7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C3420"/>
        <bgColor rgb="FF2C3420"/>
      </patternFill>
    </fill>
    <fill>
      <patternFill patternType="solid">
        <fgColor rgb="FFEDE9D8"/>
        <bgColor rgb="FFEDE9D8"/>
      </patternFill>
    </fill>
    <fill>
      <patternFill patternType="solid">
        <fgColor rgb="FF4A5535"/>
        <bgColor rgb="FF4A5535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D8D5C4"/>
      </left>
      <right style="thin">
        <color rgb="FFD8D5C4"/>
      </right>
      <top style="thin">
        <color rgb="FFD8D5C4"/>
      </top>
      <bottom style="thin">
        <color rgb="FFD8D5C4"/>
      </bottom>
    </border>
    <border>
      <left style="thin">
        <color rgb="FFD8D5C4"/>
      </left>
      <top style="thin">
        <color rgb="FFD8D5C4"/>
      </top>
      <bottom style="thin">
        <color rgb="FFD8D5C4"/>
      </bottom>
    </border>
    <border>
      <top style="thin">
        <color rgb="FFD8D5C4"/>
      </top>
      <bottom style="thin">
        <color rgb="FFD8D5C4"/>
      </bottom>
    </border>
    <border>
      <right style="thin">
        <color rgb="FFD8D5C4"/>
      </right>
      <top style="thin">
        <color rgb="FFD8D5C4"/>
      </top>
      <bottom style="thin">
        <color rgb="FFD8D5C4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5" fillId="4" fontId="4" numFmtId="0" xfId="0" applyAlignment="1" applyBorder="1" applyFill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3" fontId="5" numFmtId="0" xfId="0" applyAlignment="1" applyBorder="1" applyFont="1">
      <alignment horizontal="left" shrinkToFit="0" vertical="center" wrapText="1"/>
    </xf>
    <xf borderId="4" fillId="3" fontId="5" numFmtId="164" xfId="0" applyAlignment="1" applyBorder="1" applyFont="1" applyNumberFormat="1">
      <alignment horizontal="left" readingOrder="0" shrinkToFit="0" vertical="center" wrapText="1"/>
    </xf>
    <xf borderId="4" fillId="3" fontId="5" numFmtId="0" xfId="0" applyAlignment="1" applyBorder="1" applyFont="1">
      <alignment horizontal="left" readingOrder="0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ont="1">
      <alignment horizontal="left" readingOrder="0" shrinkToFit="0" vertical="center" wrapText="1"/>
    </xf>
    <xf borderId="5" fillId="4" fontId="4" numFmtId="0" xfId="0" applyAlignment="1" applyBorder="1" applyFont="1">
      <alignment horizontal="left" readingOrder="0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ont="1">
      <alignment horizontal="left" readingOrder="0" shrinkToFit="0" vertical="top" wrapText="1"/>
    </xf>
    <xf borderId="4" fillId="3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ont="1">
      <alignment horizontal="left" shrinkToFit="0" vertical="top" wrapText="1"/>
    </xf>
    <xf borderId="4" fillId="5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left" shrinkToFit="0" vertical="top" wrapText="1"/>
    </xf>
    <xf borderId="4" fillId="3" fontId="7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3" fontId="5" numFmtId="4" xfId="0" applyAlignment="1" applyBorder="1" applyFont="1" applyNumberFormat="1">
      <alignment horizontal="right" shrinkToFit="0" vertical="center" wrapText="0"/>
    </xf>
    <xf borderId="4" fillId="5" fontId="5" numFmtId="4" xfId="0" applyAlignment="1" applyBorder="1" applyFont="1" applyNumberFormat="1">
      <alignment horizontal="right" shrinkToFit="0" vertical="center" wrapText="0"/>
    </xf>
    <xf borderId="4" fillId="4" fontId="8" numFmtId="0" xfId="0" applyAlignment="1" applyBorder="1" applyFont="1">
      <alignment horizontal="left" shrinkToFit="0" vertical="center" wrapText="1"/>
    </xf>
    <xf borderId="4" fillId="4" fontId="8" numFmtId="4" xfId="0" applyAlignment="1" applyBorder="1" applyFont="1" applyNumberFormat="1">
      <alignment horizontal="right" shrinkToFit="0" vertical="center" wrapText="0"/>
    </xf>
    <xf borderId="1" fillId="2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40.0"/>
    <col customWidth="1" min="3" max="3" width="38.0"/>
    <col customWidth="1" min="4" max="26" width="8.71"/>
  </cols>
  <sheetData>
    <row r="1" ht="31.5" customHeight="1">
      <c r="A1" s="1" t="s">
        <v>0</v>
      </c>
      <c r="B1" s="2"/>
      <c r="C1" s="3"/>
    </row>
    <row r="2" ht="13.5" customHeight="1">
      <c r="A2" s="4" t="s">
        <v>1</v>
      </c>
      <c r="B2" s="2"/>
      <c r="C2" s="3"/>
    </row>
    <row r="4" ht="21.75" customHeight="1">
      <c r="A4" s="5" t="s">
        <v>2</v>
      </c>
      <c r="B4" s="5" t="s">
        <v>3</v>
      </c>
      <c r="C4" s="5" t="s">
        <v>4</v>
      </c>
    </row>
    <row r="5" ht="18.0" customHeight="1">
      <c r="A5" s="6" t="s">
        <v>5</v>
      </c>
      <c r="B5" s="7"/>
      <c r="C5" s="8"/>
    </row>
    <row r="6" ht="18.0" customHeight="1">
      <c r="A6" s="9" t="s">
        <v>6</v>
      </c>
      <c r="B6" s="10">
        <v>46082.0</v>
      </c>
      <c r="C6" s="11" t="s">
        <v>7</v>
      </c>
    </row>
    <row r="7" ht="18.0" customHeight="1">
      <c r="A7" s="12" t="s">
        <v>8</v>
      </c>
      <c r="B7" s="12" t="s">
        <v>9</v>
      </c>
      <c r="C7" s="12"/>
    </row>
    <row r="8" ht="18.0" customHeight="1">
      <c r="A8" s="9" t="s">
        <v>10</v>
      </c>
      <c r="B8" s="9" t="s">
        <v>11</v>
      </c>
      <c r="C8" s="9"/>
    </row>
    <row r="10" ht="18.0" customHeight="1">
      <c r="A10" s="6" t="s">
        <v>12</v>
      </c>
      <c r="B10" s="7"/>
      <c r="C10" s="8"/>
    </row>
    <row r="11" ht="18.0" customHeight="1">
      <c r="A11" s="9" t="s">
        <v>13</v>
      </c>
      <c r="B11" s="11" t="s">
        <v>14</v>
      </c>
      <c r="C11" s="9"/>
    </row>
    <row r="12" ht="18.0" customHeight="1">
      <c r="A12" s="12" t="s">
        <v>15</v>
      </c>
      <c r="B12" s="13" t="s">
        <v>16</v>
      </c>
      <c r="C12" s="12"/>
    </row>
    <row r="13" ht="18.0" customHeight="1">
      <c r="A13" s="9" t="s">
        <v>17</v>
      </c>
      <c r="B13" s="11" t="s">
        <v>18</v>
      </c>
      <c r="C13" s="9" t="s">
        <v>19</v>
      </c>
    </row>
    <row r="14" ht="18.0" customHeight="1">
      <c r="A14" s="12" t="s">
        <v>20</v>
      </c>
      <c r="B14" s="12"/>
      <c r="C14" s="12" t="s">
        <v>21</v>
      </c>
    </row>
    <row r="16" ht="18.0" customHeight="1">
      <c r="A16" s="6" t="s">
        <v>22</v>
      </c>
      <c r="B16" s="7"/>
      <c r="C16" s="8"/>
    </row>
    <row r="17" ht="18.0" customHeight="1">
      <c r="A17" s="9" t="s">
        <v>23</v>
      </c>
      <c r="B17" s="9" t="s">
        <v>24</v>
      </c>
      <c r="C17" s="9"/>
    </row>
    <row r="18" ht="18.0" customHeight="1">
      <c r="A18" s="12" t="s">
        <v>25</v>
      </c>
      <c r="B18" s="12" t="s">
        <v>26</v>
      </c>
      <c r="C18" s="12"/>
    </row>
    <row r="19" ht="18.0" customHeight="1">
      <c r="A19" s="9" t="s">
        <v>27</v>
      </c>
      <c r="B19" s="9" t="s">
        <v>28</v>
      </c>
      <c r="C19" s="9"/>
    </row>
    <row r="20" ht="18.0" customHeight="1">
      <c r="A20" s="12" t="s">
        <v>29</v>
      </c>
      <c r="B20" s="12" t="s">
        <v>30</v>
      </c>
      <c r="C20" s="12"/>
    </row>
    <row r="21" ht="18.0" customHeight="1">
      <c r="A21" s="9" t="s">
        <v>31</v>
      </c>
      <c r="B21" s="9" t="s">
        <v>32</v>
      </c>
      <c r="C21" s="9"/>
    </row>
    <row r="22" ht="18.0" customHeight="1">
      <c r="A22" s="12" t="s">
        <v>33</v>
      </c>
      <c r="B22" s="12" t="s">
        <v>34</v>
      </c>
      <c r="C22" s="12"/>
    </row>
    <row r="23" ht="18.0" customHeight="1">
      <c r="A23" s="9" t="s">
        <v>35</v>
      </c>
      <c r="B23" s="9" t="s">
        <v>36</v>
      </c>
      <c r="C23" s="9" t="s">
        <v>37</v>
      </c>
    </row>
    <row r="24" ht="18.0" customHeight="1">
      <c r="A24" s="12" t="s">
        <v>38</v>
      </c>
      <c r="B24" s="12" t="s">
        <v>39</v>
      </c>
      <c r="C24" s="12"/>
    </row>
    <row r="25" ht="18.0" customHeight="1">
      <c r="A25" s="9" t="s">
        <v>40</v>
      </c>
      <c r="B25" s="9"/>
      <c r="C25" s="9"/>
    </row>
    <row r="26" ht="15.75" customHeight="1"/>
    <row r="27" ht="15.75" customHeight="1">
      <c r="A27" s="14" t="s">
        <v>41</v>
      </c>
      <c r="B27" s="7"/>
      <c r="C27" s="8"/>
    </row>
    <row r="28" ht="15.75" customHeight="1">
      <c r="A28" s="11" t="s">
        <v>42</v>
      </c>
      <c r="B28" s="11">
        <v>43.0</v>
      </c>
    </row>
    <row r="29" ht="15.75" customHeight="1">
      <c r="A29" s="13" t="s">
        <v>43</v>
      </c>
      <c r="B29" s="13">
        <v>133.0</v>
      </c>
    </row>
    <row r="30" ht="15.75" customHeight="1">
      <c r="A30" s="11" t="s">
        <v>44</v>
      </c>
      <c r="B30" s="11">
        <v>25.0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A2:C2"/>
    <mergeCell ref="A5:C5"/>
    <mergeCell ref="A10:C10"/>
    <mergeCell ref="A16:C16"/>
    <mergeCell ref="A27:C2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2.0"/>
    <col customWidth="1" min="3" max="3" width="36.0"/>
    <col customWidth="1" min="4" max="4" width="20.0"/>
    <col customWidth="1" min="5" max="26" width="8.71"/>
  </cols>
  <sheetData>
    <row r="1" ht="31.5" customHeight="1">
      <c r="A1" s="1" t="s">
        <v>45</v>
      </c>
      <c r="B1" s="2"/>
      <c r="C1" s="2"/>
      <c r="D1" s="3"/>
    </row>
    <row r="2" ht="13.5" customHeight="1">
      <c r="A2" s="4" t="s">
        <v>46</v>
      </c>
      <c r="B2" s="2"/>
      <c r="C2" s="2"/>
      <c r="D2" s="3"/>
    </row>
    <row r="4" ht="21.75" customHeight="1">
      <c r="A4" s="5" t="s">
        <v>47</v>
      </c>
      <c r="B4" s="5" t="s">
        <v>48</v>
      </c>
      <c r="C4" s="5" t="s">
        <v>49</v>
      </c>
      <c r="D4" s="5" t="s">
        <v>50</v>
      </c>
    </row>
    <row r="5" ht="19.5" customHeight="1">
      <c r="A5" s="15">
        <v>1.0</v>
      </c>
      <c r="B5" s="9" t="s">
        <v>51</v>
      </c>
      <c r="C5" s="9"/>
      <c r="D5" s="9" t="s">
        <v>52</v>
      </c>
    </row>
    <row r="6" ht="19.5" customHeight="1">
      <c r="A6" s="15">
        <v>2.0</v>
      </c>
      <c r="B6" s="12" t="s">
        <v>53</v>
      </c>
      <c r="C6" s="12"/>
      <c r="D6" s="12" t="s">
        <v>53</v>
      </c>
    </row>
    <row r="7" ht="19.5" customHeight="1">
      <c r="A7" s="15">
        <v>3.0</v>
      </c>
      <c r="B7" s="9" t="s">
        <v>54</v>
      </c>
      <c r="C7" s="9"/>
      <c r="D7" s="9" t="s">
        <v>52</v>
      </c>
    </row>
    <row r="8" ht="19.5" customHeight="1">
      <c r="A8" s="15">
        <v>4.0</v>
      </c>
      <c r="B8" s="12" t="s">
        <v>55</v>
      </c>
      <c r="C8" s="12"/>
      <c r="D8" s="12" t="s">
        <v>52</v>
      </c>
    </row>
    <row r="9" ht="19.5" customHeight="1">
      <c r="A9" s="15">
        <v>5.0</v>
      </c>
      <c r="B9" s="9" t="s">
        <v>56</v>
      </c>
      <c r="C9" s="9" t="str">
        <f>'📋 Service Details'!B13</f>
        <v>Genesis 1:1–5</v>
      </c>
      <c r="D9" s="9" t="s">
        <v>57</v>
      </c>
    </row>
    <row r="10" ht="19.5" customHeight="1">
      <c r="A10" s="15">
        <v>6.0</v>
      </c>
      <c r="B10" s="12" t="s">
        <v>58</v>
      </c>
      <c r="C10" s="12" t="str">
        <f>'📋 Service Details'!B12&amp;" - "&amp;'📋 Service Details'!B11</f>
        <v>Test for scheduler - Mr Pastor</v>
      </c>
      <c r="D10" s="12" t="s">
        <v>58</v>
      </c>
    </row>
    <row r="11" ht="19.5" customHeight="1">
      <c r="A11" s="15">
        <v>7.0</v>
      </c>
      <c r="B11" s="9" t="s">
        <v>59</v>
      </c>
      <c r="C11" s="9"/>
      <c r="D11" s="9" t="s">
        <v>53</v>
      </c>
    </row>
    <row r="12" ht="19.5" customHeight="1">
      <c r="A12" s="15">
        <v>8.0</v>
      </c>
      <c r="B12" s="12" t="s">
        <v>60</v>
      </c>
      <c r="C12" s="12"/>
      <c r="D12" s="12" t="s">
        <v>61</v>
      </c>
    </row>
    <row r="15" ht="15.0" customHeight="1">
      <c r="A15" s="16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15:D15"/>
  </mergeCells>
  <dataValidations>
    <dataValidation type="list" allowBlank="1" sqref="D5:D12">
      <formula1>"General,Worship,Scripture,Sermon,Prayer,Offering,Other"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6.0"/>
    <col customWidth="1" min="3" max="3" width="60.0"/>
    <col customWidth="1" min="4" max="4" width="14.0"/>
    <col customWidth="1" min="5" max="5" width="22.0"/>
    <col customWidth="1" min="6" max="26" width="8.71"/>
  </cols>
  <sheetData>
    <row r="1" ht="31.5" customHeight="1">
      <c r="A1" s="1" t="s">
        <v>51</v>
      </c>
      <c r="B1" s="2"/>
      <c r="C1" s="2"/>
      <c r="D1" s="2"/>
      <c r="E1" s="3"/>
    </row>
    <row r="2" ht="13.5" customHeight="1">
      <c r="A2" s="17" t="s">
        <v>63</v>
      </c>
      <c r="B2" s="2"/>
      <c r="C2" s="2"/>
      <c r="D2" s="2"/>
      <c r="E2" s="3"/>
    </row>
    <row r="4" ht="21.75" customHeight="1">
      <c r="A4" s="5" t="s">
        <v>47</v>
      </c>
      <c r="B4" s="5" t="s">
        <v>64</v>
      </c>
      <c r="C4" s="5" t="s">
        <v>65</v>
      </c>
      <c r="D4" s="5" t="s">
        <v>66</v>
      </c>
      <c r="E4" s="5" t="s">
        <v>67</v>
      </c>
    </row>
    <row r="5" ht="39.75" customHeight="1">
      <c r="A5" s="15">
        <v>1.0</v>
      </c>
      <c r="B5" s="18" t="s">
        <v>68</v>
      </c>
      <c r="C5" s="18" t="s">
        <v>69</v>
      </c>
      <c r="D5" s="19" t="s">
        <v>70</v>
      </c>
      <c r="E5" s="20" t="s">
        <v>71</v>
      </c>
    </row>
    <row r="6" ht="39.75" customHeight="1">
      <c r="A6" s="15">
        <v>2.0</v>
      </c>
      <c r="B6" s="21" t="s">
        <v>72</v>
      </c>
      <c r="C6" s="21" t="s">
        <v>73</v>
      </c>
      <c r="D6" s="22" t="s">
        <v>74</v>
      </c>
      <c r="E6" s="22" t="s">
        <v>75</v>
      </c>
    </row>
    <row r="7" ht="39.75" customHeight="1">
      <c r="A7" s="15">
        <v>3.0</v>
      </c>
      <c r="B7" s="23" t="s">
        <v>76</v>
      </c>
      <c r="C7" s="23" t="s">
        <v>77</v>
      </c>
      <c r="D7" s="19" t="s">
        <v>70</v>
      </c>
      <c r="E7" s="19" t="s">
        <v>75</v>
      </c>
    </row>
    <row r="8" ht="39.75" customHeight="1">
      <c r="A8" s="15">
        <v>4.0</v>
      </c>
      <c r="B8" s="21" t="s">
        <v>78</v>
      </c>
      <c r="C8" s="21" t="s">
        <v>79</v>
      </c>
      <c r="D8" s="22" t="s">
        <v>74</v>
      </c>
      <c r="E8" s="22" t="s">
        <v>75</v>
      </c>
    </row>
    <row r="9" ht="39.75" customHeight="1">
      <c r="A9" s="15">
        <v>5.0</v>
      </c>
      <c r="B9" s="23" t="s">
        <v>80</v>
      </c>
      <c r="C9" s="23" t="s">
        <v>81</v>
      </c>
      <c r="D9" s="19" t="s">
        <v>74</v>
      </c>
      <c r="E9" s="19" t="s">
        <v>75</v>
      </c>
    </row>
    <row r="10" ht="39.75" customHeight="1">
      <c r="A10" s="15">
        <v>6.0</v>
      </c>
      <c r="B10" s="21"/>
      <c r="C10" s="21"/>
      <c r="D10" s="22" t="s">
        <v>70</v>
      </c>
      <c r="E10" s="22" t="s">
        <v>75</v>
      </c>
    </row>
    <row r="11" ht="39.75" customHeight="1">
      <c r="A11" s="15">
        <v>7.0</v>
      </c>
      <c r="B11" s="23"/>
      <c r="C11" s="23"/>
      <c r="D11" s="19" t="s">
        <v>70</v>
      </c>
      <c r="E11" s="19" t="s">
        <v>75</v>
      </c>
    </row>
    <row r="12" ht="39.75" customHeight="1">
      <c r="A12" s="15">
        <v>8.0</v>
      </c>
      <c r="B12" s="21"/>
      <c r="C12" s="21"/>
      <c r="D12" s="22" t="s">
        <v>70</v>
      </c>
      <c r="E12" s="22" t="s">
        <v>75</v>
      </c>
    </row>
    <row r="13" ht="39.75" customHeight="1">
      <c r="A13" s="15">
        <v>9.0</v>
      </c>
      <c r="B13" s="21"/>
      <c r="C13" s="21"/>
      <c r="D13" s="22" t="s">
        <v>70</v>
      </c>
      <c r="E13" s="22" t="s">
        <v>75</v>
      </c>
    </row>
    <row r="14" ht="39.75" customHeight="1">
      <c r="A14" s="15">
        <v>10.0</v>
      </c>
      <c r="B14" s="23"/>
      <c r="C14" s="23"/>
      <c r="D14" s="19" t="s">
        <v>70</v>
      </c>
      <c r="E14" s="19" t="s">
        <v>75</v>
      </c>
    </row>
    <row r="15" ht="39.75" customHeight="1">
      <c r="A15" s="15">
        <v>11.0</v>
      </c>
      <c r="B15" s="21"/>
      <c r="C15" s="21"/>
      <c r="D15" s="22" t="s">
        <v>70</v>
      </c>
      <c r="E15" s="22" t="s">
        <v>75</v>
      </c>
    </row>
    <row r="16" ht="39.75" customHeight="1">
      <c r="A16" s="15">
        <v>12.0</v>
      </c>
      <c r="B16" s="21"/>
      <c r="C16" s="21"/>
      <c r="D16" s="22" t="s">
        <v>70</v>
      </c>
      <c r="E16" s="22" t="s">
        <v>75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2">
    <mergeCell ref="A1:E1"/>
    <mergeCell ref="A2:E2"/>
  </mergeCells>
  <dataValidations>
    <dataValidation type="list" allowBlank="1" sqref="E5:E16">
      <formula1>"English,Chinese,Both"</formula1>
    </dataValidation>
    <dataValidation type="list" allowBlank="1" sqref="D5:D16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62.0"/>
    <col customWidth="1" min="3" max="3" width="14.0"/>
    <col customWidth="1" min="4" max="26" width="8.71"/>
  </cols>
  <sheetData>
    <row r="1" ht="31.5" customHeight="1">
      <c r="A1" s="1" t="s">
        <v>82</v>
      </c>
      <c r="B1" s="2"/>
      <c r="C1" s="3"/>
    </row>
    <row r="2" ht="13.5" customHeight="1">
      <c r="A2" s="4" t="s">
        <v>83</v>
      </c>
      <c r="B2" s="2"/>
      <c r="C2" s="3"/>
    </row>
    <row r="4" ht="21.75" customHeight="1">
      <c r="A4" s="5" t="s">
        <v>84</v>
      </c>
      <c r="B4" s="5" t="s">
        <v>85</v>
      </c>
      <c r="C4" s="5" t="s">
        <v>66</v>
      </c>
    </row>
    <row r="5" ht="36.0" customHeight="1">
      <c r="A5" s="24" t="s">
        <v>86</v>
      </c>
      <c r="B5" s="23" t="s">
        <v>87</v>
      </c>
      <c r="C5" s="19" t="s">
        <v>74</v>
      </c>
    </row>
    <row r="6" ht="36.0" customHeight="1">
      <c r="A6" s="25" t="s">
        <v>88</v>
      </c>
      <c r="B6" s="21" t="s">
        <v>89</v>
      </c>
      <c r="C6" s="22" t="s">
        <v>74</v>
      </c>
    </row>
    <row r="7" ht="36.0" customHeight="1">
      <c r="A7" s="24" t="s">
        <v>88</v>
      </c>
      <c r="B7" s="23" t="s">
        <v>90</v>
      </c>
      <c r="C7" s="19" t="s">
        <v>74</v>
      </c>
    </row>
    <row r="8" ht="36.0" customHeight="1">
      <c r="A8" s="25" t="s">
        <v>88</v>
      </c>
      <c r="B8" s="21" t="s">
        <v>91</v>
      </c>
      <c r="C8" s="22" t="s">
        <v>74</v>
      </c>
    </row>
    <row r="9" ht="36.0" customHeight="1">
      <c r="A9" s="24" t="s">
        <v>92</v>
      </c>
      <c r="B9" s="23" t="s">
        <v>93</v>
      </c>
      <c r="C9" s="19" t="s">
        <v>74</v>
      </c>
    </row>
    <row r="10" ht="36.0" customHeight="1">
      <c r="A10" s="25" t="s">
        <v>92</v>
      </c>
      <c r="B10" s="21" t="s">
        <v>94</v>
      </c>
      <c r="C10" s="22" t="s">
        <v>70</v>
      </c>
    </row>
    <row r="11" ht="36.0" customHeight="1">
      <c r="A11" s="24" t="s">
        <v>92</v>
      </c>
      <c r="B11" s="23" t="s">
        <v>95</v>
      </c>
      <c r="C11" s="19" t="s">
        <v>74</v>
      </c>
    </row>
    <row r="12" ht="36.0" customHeight="1">
      <c r="A12" s="25" t="s">
        <v>92</v>
      </c>
      <c r="B12" s="21" t="s">
        <v>96</v>
      </c>
      <c r="C12" s="22" t="s">
        <v>74</v>
      </c>
    </row>
    <row r="13" ht="36.0" customHeight="1">
      <c r="A13" s="24" t="s">
        <v>92</v>
      </c>
      <c r="B13" s="23" t="s">
        <v>97</v>
      </c>
      <c r="C13" s="19" t="s">
        <v>74</v>
      </c>
    </row>
    <row r="14" ht="36.0" customHeight="1">
      <c r="A14" s="12"/>
      <c r="B14" s="21"/>
      <c r="C14" s="22" t="s">
        <v>70</v>
      </c>
    </row>
    <row r="15" ht="36.0" customHeight="1">
      <c r="A15" s="9"/>
      <c r="B15" s="23"/>
      <c r="C15" s="19" t="s">
        <v>70</v>
      </c>
    </row>
    <row r="16" ht="36.0" customHeight="1">
      <c r="A16" s="12"/>
      <c r="B16" s="21"/>
      <c r="C16" s="22" t="s">
        <v>70</v>
      </c>
    </row>
    <row r="17">
      <c r="A17" s="9"/>
      <c r="B17" s="23"/>
      <c r="C17" s="19" t="s">
        <v>70</v>
      </c>
    </row>
    <row r="18">
      <c r="A18" s="12"/>
      <c r="B18" s="21"/>
      <c r="C18" s="22" t="s">
        <v>70</v>
      </c>
    </row>
    <row r="19">
      <c r="A19" s="9"/>
      <c r="B19" s="23"/>
      <c r="C19" s="19" t="s">
        <v>70</v>
      </c>
    </row>
    <row r="20">
      <c r="A20" s="12"/>
      <c r="B20" s="21"/>
      <c r="C20" s="22" t="s">
        <v>70</v>
      </c>
    </row>
    <row r="21" ht="15.75" customHeight="1">
      <c r="A21" s="9"/>
      <c r="B21" s="23"/>
      <c r="C21" s="19" t="s">
        <v>70</v>
      </c>
    </row>
    <row r="22" ht="15.75" customHeight="1">
      <c r="A22" s="12"/>
      <c r="B22" s="21"/>
      <c r="C22" s="22" t="s">
        <v>70</v>
      </c>
    </row>
    <row r="23" ht="15.75" customHeight="1">
      <c r="A23" s="9"/>
      <c r="B23" s="23"/>
      <c r="C23" s="19" t="s">
        <v>70</v>
      </c>
    </row>
    <row r="24" ht="15.75" customHeight="1">
      <c r="A24" s="12"/>
      <c r="B24" s="21"/>
      <c r="C24" s="22" t="s">
        <v>70</v>
      </c>
    </row>
    <row r="25" ht="15.75" customHeight="1">
      <c r="A25" s="9"/>
      <c r="B25" s="23"/>
      <c r="C25" s="19" t="s">
        <v>70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dataValidations>
    <dataValidation type="list" allowBlank="1" sqref="A5:A25">
      <formula1>"For the World,For Our International Workers,For Our Church,Other"</formula1>
    </dataValidation>
    <dataValidation type="list" allowBlank="1" sqref="C5:C25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18.0"/>
    <col customWidth="1" min="4" max="4" width="26.0"/>
    <col customWidth="1" min="5" max="5" width="20.0"/>
    <col customWidth="1" min="6" max="6" width="28.0"/>
    <col customWidth="1" min="7" max="7" width="18.0"/>
    <col customWidth="1" min="8" max="8" width="20.0"/>
    <col customWidth="1" min="9" max="26" width="8.71"/>
  </cols>
  <sheetData>
    <row r="1" ht="31.5" customHeight="1">
      <c r="A1" s="1" t="s">
        <v>98</v>
      </c>
      <c r="B1" s="2"/>
      <c r="C1" s="2"/>
      <c r="D1" s="2"/>
      <c r="E1" s="2"/>
      <c r="F1" s="2"/>
      <c r="G1" s="2"/>
      <c r="H1" s="3"/>
    </row>
    <row r="2" ht="13.5" customHeight="1">
      <c r="A2" s="4" t="s">
        <v>99</v>
      </c>
      <c r="B2" s="2"/>
      <c r="C2" s="2"/>
      <c r="D2" s="2"/>
      <c r="E2" s="2"/>
      <c r="F2" s="2"/>
      <c r="G2" s="2"/>
      <c r="H2" s="3"/>
    </row>
    <row r="4" ht="21.75" customHeight="1">
      <c r="A4" s="5" t="s">
        <v>100</v>
      </c>
      <c r="B4" s="5" t="s">
        <v>13</v>
      </c>
      <c r="C4" s="5" t="s">
        <v>23</v>
      </c>
      <c r="D4" s="5" t="s">
        <v>101</v>
      </c>
      <c r="E4" s="5" t="s">
        <v>102</v>
      </c>
      <c r="F4" s="5" t="s">
        <v>103</v>
      </c>
      <c r="G4" s="5" t="s">
        <v>40</v>
      </c>
      <c r="H4" s="5" t="s">
        <v>104</v>
      </c>
    </row>
    <row r="5" ht="21.75" customHeight="1">
      <c r="A5" s="9" t="s">
        <v>105</v>
      </c>
      <c r="B5" s="9" t="s">
        <v>106</v>
      </c>
      <c r="C5" s="9" t="s">
        <v>107</v>
      </c>
      <c r="D5" s="9" t="s">
        <v>108</v>
      </c>
      <c r="E5" s="9" t="s">
        <v>109</v>
      </c>
      <c r="F5" s="9" t="s">
        <v>110</v>
      </c>
      <c r="G5" s="9" t="s">
        <v>111</v>
      </c>
      <c r="H5" s="9"/>
    </row>
    <row r="6" ht="21.75" customHeight="1">
      <c r="A6" s="12" t="s">
        <v>112</v>
      </c>
      <c r="B6" s="12" t="s">
        <v>106</v>
      </c>
      <c r="C6" s="12" t="s">
        <v>107</v>
      </c>
      <c r="D6" s="12" t="s">
        <v>113</v>
      </c>
      <c r="E6" s="12" t="s">
        <v>114</v>
      </c>
      <c r="F6" s="12" t="s">
        <v>115</v>
      </c>
      <c r="G6" s="12" t="s">
        <v>116</v>
      </c>
      <c r="H6" s="12"/>
    </row>
    <row r="7" ht="21.75" customHeight="1">
      <c r="A7" s="9" t="s">
        <v>117</v>
      </c>
      <c r="B7" s="9" t="s">
        <v>118</v>
      </c>
      <c r="C7" s="9" t="s">
        <v>24</v>
      </c>
      <c r="D7" s="9" t="s">
        <v>119</v>
      </c>
      <c r="E7" s="9" t="s">
        <v>120</v>
      </c>
      <c r="F7" s="9" t="s">
        <v>121</v>
      </c>
      <c r="G7" s="9" t="s">
        <v>122</v>
      </c>
      <c r="H7" s="9"/>
    </row>
    <row r="8" ht="21.75" customHeight="1">
      <c r="A8" s="12" t="s">
        <v>123</v>
      </c>
      <c r="B8" s="12" t="s">
        <v>124</v>
      </c>
      <c r="C8" s="12" t="s">
        <v>107</v>
      </c>
      <c r="D8" s="12" t="s">
        <v>125</v>
      </c>
      <c r="E8" s="12" t="s">
        <v>109</v>
      </c>
      <c r="F8" s="12" t="s">
        <v>126</v>
      </c>
      <c r="G8" s="12" t="s">
        <v>127</v>
      </c>
      <c r="H8" s="12"/>
    </row>
    <row r="9" ht="21.75" customHeight="1">
      <c r="A9" s="9" t="s">
        <v>128</v>
      </c>
      <c r="B9" s="9"/>
      <c r="C9" s="9"/>
      <c r="D9" s="9"/>
      <c r="E9" s="9"/>
      <c r="F9" s="9"/>
      <c r="G9" s="9"/>
      <c r="H9" s="9"/>
    </row>
    <row r="10" ht="21.75" customHeight="1">
      <c r="A10" s="12" t="s">
        <v>129</v>
      </c>
      <c r="B10" s="12"/>
      <c r="C10" s="12"/>
      <c r="D10" s="12"/>
      <c r="E10" s="12"/>
      <c r="F10" s="12"/>
      <c r="G10" s="12"/>
      <c r="H10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2.0"/>
    <col customWidth="1" min="3" max="3" width="36.0"/>
    <col customWidth="1" min="4" max="4" width="28.0"/>
    <col customWidth="1" min="5" max="5" width="14.0"/>
    <col customWidth="1" min="6" max="26" width="8.71"/>
  </cols>
  <sheetData>
    <row r="1" ht="31.5" customHeight="1">
      <c r="A1" s="1" t="s">
        <v>130</v>
      </c>
      <c r="B1" s="2"/>
      <c r="C1" s="2"/>
      <c r="D1" s="2"/>
      <c r="E1" s="3"/>
    </row>
    <row r="2" ht="13.5" customHeight="1">
      <c r="A2" s="4" t="s">
        <v>131</v>
      </c>
      <c r="B2" s="2"/>
      <c r="C2" s="2"/>
      <c r="D2" s="2"/>
      <c r="E2" s="3"/>
    </row>
    <row r="4" ht="21.75" customHeight="1">
      <c r="A4" s="5" t="s">
        <v>132</v>
      </c>
      <c r="B4" s="5" t="s">
        <v>133</v>
      </c>
      <c r="C4" s="5" t="s">
        <v>134</v>
      </c>
      <c r="D4" s="5" t="s">
        <v>135</v>
      </c>
      <c r="E4" s="5" t="s">
        <v>136</v>
      </c>
    </row>
    <row r="5" ht="18.0" customHeight="1">
      <c r="A5" s="9" t="s">
        <v>137</v>
      </c>
      <c r="B5" s="9" t="s">
        <v>138</v>
      </c>
      <c r="C5" s="9" t="s">
        <v>139</v>
      </c>
      <c r="D5" s="9" t="s">
        <v>140</v>
      </c>
      <c r="E5" s="9" t="s">
        <v>74</v>
      </c>
    </row>
    <row r="6" ht="18.0" customHeight="1">
      <c r="A6" s="12" t="s">
        <v>137</v>
      </c>
      <c r="B6" s="12" t="s">
        <v>141</v>
      </c>
      <c r="C6" s="12" t="s">
        <v>139</v>
      </c>
      <c r="D6" s="12" t="s">
        <v>142</v>
      </c>
      <c r="E6" s="12" t="s">
        <v>74</v>
      </c>
    </row>
    <row r="7" ht="18.0" customHeight="1">
      <c r="A7" s="9" t="s">
        <v>143</v>
      </c>
      <c r="B7" s="9" t="s">
        <v>144</v>
      </c>
      <c r="C7" s="9" t="s">
        <v>145</v>
      </c>
      <c r="D7" s="9" t="s">
        <v>146</v>
      </c>
      <c r="E7" s="9" t="s">
        <v>74</v>
      </c>
    </row>
    <row r="8" ht="18.0" customHeight="1">
      <c r="A8" s="12" t="s">
        <v>143</v>
      </c>
      <c r="B8" s="12" t="s">
        <v>147</v>
      </c>
      <c r="C8" s="12" t="s">
        <v>148</v>
      </c>
      <c r="D8" s="12" t="s">
        <v>149</v>
      </c>
      <c r="E8" s="12" t="s">
        <v>74</v>
      </c>
    </row>
    <row r="9" ht="18.0" customHeight="1">
      <c r="A9" s="9" t="s">
        <v>143</v>
      </c>
      <c r="B9" s="9" t="s">
        <v>150</v>
      </c>
      <c r="C9" s="9" t="s">
        <v>151</v>
      </c>
      <c r="D9" s="9" t="s">
        <v>152</v>
      </c>
      <c r="E9" s="9" t="s">
        <v>74</v>
      </c>
    </row>
    <row r="10" ht="18.0" customHeight="1">
      <c r="A10" s="12" t="s">
        <v>143</v>
      </c>
      <c r="B10" s="12" t="s">
        <v>153</v>
      </c>
      <c r="C10" s="12" t="s">
        <v>154</v>
      </c>
      <c r="D10" s="12" t="s">
        <v>155</v>
      </c>
      <c r="E10" s="12" t="s">
        <v>74</v>
      </c>
    </row>
    <row r="11" ht="18.0" customHeight="1">
      <c r="A11" s="9"/>
      <c r="B11" s="9"/>
      <c r="C11" s="9"/>
      <c r="D11" s="9"/>
      <c r="E11" s="9" t="s">
        <v>70</v>
      </c>
    </row>
    <row r="12" ht="18.0" customHeight="1">
      <c r="A12" s="12"/>
      <c r="B12" s="12"/>
      <c r="C12" s="12"/>
      <c r="D12" s="12"/>
      <c r="E12" s="12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E5:E12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4" width="18.0"/>
    <col customWidth="1" min="5" max="26" width="8.71"/>
  </cols>
  <sheetData>
    <row r="1" ht="31.5" customHeight="1">
      <c r="A1" s="1" t="s">
        <v>156</v>
      </c>
      <c r="B1" s="2"/>
      <c r="C1" s="2"/>
      <c r="D1" s="3"/>
    </row>
    <row r="2" ht="13.5" customHeight="1">
      <c r="A2" s="4" t="s">
        <v>157</v>
      </c>
      <c r="B2" s="2"/>
      <c r="C2" s="2"/>
      <c r="D2" s="3"/>
    </row>
    <row r="4" ht="21.75" customHeight="1">
      <c r="A4" s="5" t="s">
        <v>158</v>
      </c>
      <c r="B4" s="5" t="s">
        <v>159</v>
      </c>
      <c r="C4" s="5" t="s">
        <v>160</v>
      </c>
      <c r="D4" s="5" t="s">
        <v>161</v>
      </c>
    </row>
    <row r="5" ht="18.0" customHeight="1">
      <c r="A5" s="9" t="s">
        <v>52</v>
      </c>
      <c r="B5" s="26">
        <v>5324.3</v>
      </c>
      <c r="C5" s="26">
        <v>1455.0</v>
      </c>
      <c r="D5" s="26">
        <f t="shared" ref="D5:D13" si="1">B5+C5</f>
        <v>6779.3</v>
      </c>
    </row>
    <row r="6" ht="18.0" customHeight="1">
      <c r="A6" s="12" t="s">
        <v>162</v>
      </c>
      <c r="B6" s="27">
        <v>0.0</v>
      </c>
      <c r="C6" s="27">
        <v>20.0</v>
      </c>
      <c r="D6" s="27">
        <f t="shared" si="1"/>
        <v>20</v>
      </c>
    </row>
    <row r="7" ht="18.0" customHeight="1">
      <c r="A7" s="9" t="s">
        <v>163</v>
      </c>
      <c r="B7" s="26">
        <v>0.0</v>
      </c>
      <c r="C7" s="26">
        <v>150.0</v>
      </c>
      <c r="D7" s="26">
        <f t="shared" si="1"/>
        <v>150</v>
      </c>
    </row>
    <row r="8" ht="18.0" customHeight="1">
      <c r="A8" s="12" t="s">
        <v>164</v>
      </c>
      <c r="B8" s="27">
        <v>420.0</v>
      </c>
      <c r="C8" s="27">
        <v>0.0</v>
      </c>
      <c r="D8" s="27">
        <f t="shared" si="1"/>
        <v>420</v>
      </c>
    </row>
    <row r="9" ht="18.0" customHeight="1">
      <c r="A9" s="9" t="s">
        <v>165</v>
      </c>
      <c r="B9" s="26">
        <v>0.0</v>
      </c>
      <c r="C9" s="26">
        <v>50.0</v>
      </c>
      <c r="D9" s="26">
        <f t="shared" si="1"/>
        <v>50</v>
      </c>
    </row>
    <row r="10" ht="18.0" customHeight="1">
      <c r="A10" s="12" t="s">
        <v>166</v>
      </c>
      <c r="B10" s="27">
        <v>0.0</v>
      </c>
      <c r="C10" s="27">
        <v>15.15</v>
      </c>
      <c r="D10" s="27">
        <f t="shared" si="1"/>
        <v>15.15</v>
      </c>
    </row>
    <row r="11" ht="18.0" customHeight="1">
      <c r="A11" s="9" t="s">
        <v>167</v>
      </c>
      <c r="B11" s="26">
        <v>13.0</v>
      </c>
      <c r="C11" s="26">
        <v>0.0</v>
      </c>
      <c r="D11" s="26">
        <f t="shared" si="1"/>
        <v>13</v>
      </c>
    </row>
    <row r="12" ht="18.0" customHeight="1">
      <c r="A12" s="12" t="s">
        <v>168</v>
      </c>
      <c r="B12" s="27">
        <v>10.0</v>
      </c>
      <c r="C12" s="27">
        <v>0.0</v>
      </c>
      <c r="D12" s="27">
        <f t="shared" si="1"/>
        <v>10</v>
      </c>
    </row>
    <row r="13" ht="18.0" customHeight="1">
      <c r="A13" s="9" t="s">
        <v>169</v>
      </c>
      <c r="B13" s="26">
        <v>85.0</v>
      </c>
      <c r="C13" s="26">
        <v>0.0</v>
      </c>
      <c r="D13" s="26">
        <f t="shared" si="1"/>
        <v>85</v>
      </c>
    </row>
    <row r="14" ht="21.75" customHeight="1">
      <c r="A14" s="28" t="s">
        <v>170</v>
      </c>
      <c r="B14" s="29">
        <f t="shared" ref="B14:D14" si="2">SUM(B5:B13)</f>
        <v>5852.3</v>
      </c>
      <c r="C14" s="29">
        <f t="shared" si="2"/>
        <v>1690.15</v>
      </c>
      <c r="D14" s="29">
        <f t="shared" si="2"/>
        <v>7542.45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60.0"/>
    <col customWidth="1" min="3" max="26" width="8.71"/>
  </cols>
  <sheetData>
    <row r="1" ht="36.0" customHeight="1">
      <c r="A1" s="30" t="s">
        <v>171</v>
      </c>
      <c r="B1" s="3"/>
    </row>
    <row r="3" ht="36.0" customHeight="1">
      <c r="A3" s="24" t="s">
        <v>172</v>
      </c>
      <c r="B3" s="9" t="s">
        <v>173</v>
      </c>
    </row>
    <row r="4" ht="36.0" customHeight="1">
      <c r="A4" s="25" t="s">
        <v>174</v>
      </c>
      <c r="B4" s="12" t="s">
        <v>175</v>
      </c>
    </row>
    <row r="5" ht="36.0" customHeight="1">
      <c r="A5" s="24" t="s">
        <v>176</v>
      </c>
      <c r="B5" s="9" t="s">
        <v>177</v>
      </c>
    </row>
    <row r="6" ht="36.0" customHeight="1">
      <c r="A6" s="25" t="s">
        <v>178</v>
      </c>
      <c r="B6" s="12" t="s">
        <v>179</v>
      </c>
    </row>
    <row r="7" ht="36.0" customHeight="1">
      <c r="A7" s="24" t="s">
        <v>180</v>
      </c>
      <c r="B7" s="9" t="s">
        <v>181</v>
      </c>
    </row>
    <row r="8" ht="36.0" customHeight="1">
      <c r="A8" s="25" t="s">
        <v>182</v>
      </c>
      <c r="B8" s="12" t="s">
        <v>183</v>
      </c>
    </row>
    <row r="9" ht="36.0" customHeight="1">
      <c r="A9" s="24" t="s">
        <v>184</v>
      </c>
      <c r="B9" s="9" t="s">
        <v>185</v>
      </c>
    </row>
    <row r="10" ht="36.0" customHeight="1">
      <c r="A10" s="25" t="s">
        <v>186</v>
      </c>
      <c r="B10" s="12" t="s">
        <v>187</v>
      </c>
    </row>
    <row r="11" ht="36.0" customHeight="1">
      <c r="A11" s="24" t="s">
        <v>188</v>
      </c>
      <c r="B11" s="9" t="s">
        <v>189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1" t="s">
        <v>190</v>
      </c>
      <c r="B1" s="32" t="s">
        <v>191</v>
      </c>
    </row>
  </sheetData>
  <drawing r:id="rId1"/>
</worksheet>
</file>